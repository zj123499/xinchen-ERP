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底薪" sheetId="2" r:id="rId1"/>
    <sheet name="自媒体提成" sheetId="1" r:id="rId2"/>
    <sheet name="市场部门" sheetId="3" r:id="rId3"/>
    <sheet name="租房业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<sst xmlns="http://schemas.openxmlformats.org/spreadsheetml/2006/main" count="128" uniqueCount="89">
  <si>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序号</t>
  </si>
  <si>
    <t>姓名</t>
  </si>
  <si>
    <t>岗位</t>
  </si>
  <si>
    <t>基本工资</t>
  </si>
  <si>
    <t>备注</t>
  </si>
  <si>
    <t>张楠</t>
  </si>
  <si>
    <t>留学顾问</t>
  </si>
  <si>
    <t>姚静</t>
  </si>
  <si>
    <t>邱枫</t>
  </si>
  <si>
    <t>市场</t>
  </si>
  <si>
    <t>秦燕</t>
  </si>
  <si>
    <t>自媒体</t>
  </si>
  <si>
    <t>王小可</t>
  </si>
  <si>
    <t>何雨洁</t>
  </si>
  <si>
    <t>吴雪娇</t>
  </si>
  <si>
    <t>主管</t>
  </si>
  <si>
    <t>韦静</t>
  </si>
  <si>
    <t>文案</t>
  </si>
  <si>
    <t>吕宗远</t>
  </si>
  <si>
    <t>站群</t>
  </si>
  <si>
    <t>赵杰</t>
  </si>
  <si>
    <t>总经办</t>
  </si>
  <si>
    <t>许冬青</t>
  </si>
  <si>
    <t>会计</t>
  </si>
  <si>
    <t>合计</t>
  </si>
  <si>
    <t>部门</t>
  </si>
  <si>
    <t>薪资</t>
  </si>
  <si>
    <t>项目</t>
  </si>
  <si>
    <t>金额</t>
  </si>
  <si>
    <t>底薪</t>
  </si>
  <si>
    <t>试用期</t>
  </si>
  <si>
    <t>500元团队奖励：
线索量
第一：100元
第二：50元
主管：350元</t>
  </si>
  <si>
    <t>转正后</t>
  </si>
  <si>
    <t>绩效</t>
  </si>
  <si>
    <t>单篇浏览量</t>
  </si>
  <si>
    <t>＞5000</t>
  </si>
  <si>
    <t>100元</t>
  </si>
  <si>
    <t>＞10000</t>
  </si>
  <si>
    <t>200元</t>
  </si>
  <si>
    <t>月线索量</t>
  </si>
  <si>
    <t>≥130</t>
  </si>
  <si>
    <t>提成</t>
  </si>
  <si>
    <t>成交</t>
  </si>
  <si>
    <t>月线索量：N
单价：X=（N/80）*8,(X≤8)
金额=（N-30）*X</t>
  </si>
  <si>
    <t>团队</t>
  </si>
  <si>
    <t>≥100*n</t>
  </si>
  <si>
    <t>500元</t>
  </si>
  <si>
    <t>月线索量和：M
团队人数：n
单价：X=（M/80n）*1.5,(X≤1.5)
金额=（M-30n）*X</t>
  </si>
  <si>
    <t>绩效工资</t>
  </si>
  <si>
    <t>服务费提成</t>
  </si>
  <si>
    <t>学生入学后，收到返佣阶段</t>
  </si>
  <si>
    <t>住宿/境外返佣</t>
  </si>
  <si>
    <t>主推院校推广奖金</t>
  </si>
  <si>
    <t>业务类型</t>
  </si>
  <si>
    <t>签约</t>
  </si>
  <si>
    <t>下offer</t>
  </si>
  <si>
    <t>入学</t>
  </si>
  <si>
    <t>顾问</t>
  </si>
  <si>
    <t>/</t>
  </si>
  <si>
    <t>直招--顾问</t>
  </si>
  <si>
    <r>
      <t>1.新加坡的，我们自己的房源：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顾问提成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合约签署半年1500；如果学生续约，由顾问老师跟进，顾问老师续约抽成：500元人民币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合约签署一年3000好，结算时间：先是半年的，之后半年续约的时候结算下一部分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2.亚洲留学生公寓或者其他房源：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顾问抽成：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合约签署半年200元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一年300元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3.乐寓租房房源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顾问抽成：800元（仅限一次结算）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3.境外服务，服务内容见项目表：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新加坡接机：200元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新加坡接机+陪同：260元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马来西亚接机+陪同：100元</t>
    </r>
  </si>
  <si>
    <t>待定</t>
  </si>
  <si>
    <t>市场支持</t>
  </si>
  <si>
    <t>合作方</t>
  </si>
  <si>
    <r>
      <t>400元人民币;</t>
    </r>
    <r>
      <rPr>
        <sz val="10"/>
        <color rgb="FF000000"/>
        <rFont val="Arial Regular"/>
        <charset val="134"/>
      </rPr>
      <t xml:space="preserve">
</t>
    </r>
    <r>
      <rPr>
        <sz val="10"/>
        <color rgb="FF000000"/>
        <rFont val="Arial Regular"/>
        <charset val="134"/>
      </rPr>
      <t>仅限佣金院校</t>
    </r>
  </si>
  <si>
    <t>市场合作</t>
  </si>
  <si>
    <t>合作方-免费</t>
  </si>
  <si>
    <r>
      <t>渠道推荐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（后台标记-推荐）</t>
    </r>
  </si>
  <si>
    <t>推荐资源给直招，还是直招业务</t>
  </si>
  <si>
    <t>无</t>
  </si>
  <si>
    <t>服务费提成备注</t>
  </si>
  <si>
    <r>
      <t>1.如有优惠，以优惠后实际收入金额为基数结算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2.关于保证金押金：收取2千，后期入学会退，所以不结算项目抽成，只结算佣金，算成单数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3.公立大学/其他有第三方支出的项目，扣除第三方费用后，按照公司净收入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4.如果是外部渠道推荐，需要结算给合作方推荐费，服务费抽成结算：（服务费-外部推荐费）*对应比例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以上几种特殊服务费类型，顾问老师需自觉备注给财务老师，便于财务老师结算.</t>
    </r>
  </si>
  <si>
    <t>注释</t>
  </si>
  <si>
    <r>
      <t>1.入学的2%：以学生换取学生准证为结算时间节点</t>
    </r>
    <r>
      <rPr>
        <sz val="10"/>
        <color rgb="FF000000"/>
        <rFont val="宋体-简"/>
        <charset val="134"/>
      </rPr>
      <t xml:space="preserve">
</t>
    </r>
    <r>
      <rPr>
        <sz val="10"/>
        <color rgb="FF000000"/>
        <rFont val="宋体-简"/>
        <charset val="134"/>
      </rPr>
      <t>2.学校返佣：按照公司方实际到账的院校返佣为基数进行百分比结算，转代理学生、本校升读学生、个别院</t>
    </r>
    <r>
      <rPr>
        <sz val="10"/>
        <color rgb="FF000000"/>
        <rFont val="宋体-简"/>
        <charset val="134"/>
      </rPr>
      <t xml:space="preserve">
</t>
    </r>
    <r>
      <rPr>
        <sz val="10"/>
        <color rgb="FF000000"/>
        <rFont val="宋体-简"/>
        <charset val="134"/>
      </rPr>
      <t>校的无奖金专业、以及未在本表中列示的院校，顾问老师可在递交申请前可咨询上级人员，按照实收个案处理结算;</t>
    </r>
    <r>
      <rPr>
        <sz val="10"/>
        <color rgb="FF000000"/>
        <rFont val="宋体-简"/>
        <charset val="134"/>
      </rPr>
      <t xml:space="preserve">
</t>
    </r>
    <r>
      <rPr>
        <sz val="10"/>
        <color rgb="FF000000"/>
        <rFont val="宋体-简"/>
        <charset val="134"/>
      </rPr>
      <t>3.C端学生，标记：免服务费办理，公司拿完整佣金；在学生入学公司收到返佣后，结算给直招顾问：400元+5%对应佣金</t>
    </r>
    <r>
      <rPr>
        <sz val="10"/>
        <color rgb="FF000000"/>
        <rFont val="宋体-简"/>
        <charset val="134"/>
      </rPr>
      <t xml:space="preserve">
</t>
    </r>
    <r>
      <rPr>
        <sz val="10"/>
        <color rgb="FF000000"/>
        <rFont val="宋体-简"/>
        <charset val="134"/>
      </rPr>
      <t>4.以上政策，如有变化，以邮件通知为准，未收到邮件更新前的学生可以按照原政策提报。</t>
    </r>
  </si>
  <si>
    <t>参与人员</t>
  </si>
  <si>
    <r>
      <t>结算规则</t>
    </r>
    <r>
      <rPr>
        <b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*单位为元人民币</t>
    </r>
  </si>
  <si>
    <t>结算时间节点</t>
  </si>
  <si>
    <t>新媒体</t>
  </si>
  <si>
    <t>秦老师，胡月老师</t>
  </si>
  <si>
    <t>按照原来的签约一单100元</t>
  </si>
  <si>
    <t>当月</t>
  </si>
  <si>
    <t>顾问老师</t>
  </si>
  <si>
    <t>张老师，姚老师</t>
  </si>
  <si>
    <r>
      <t>租房及境外服务抽成结算，以下标准单位为人民币/元：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1.新加坡的直属房源（目前在合作对接新加坡的所有稳定二房东）王老师那边的都是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顾问提成（C端客户）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住宿半年付500；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住宿一年付800，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顾问提成（B端客户）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住宿半年付300；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住宿一年付500，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2.亚洲留学生公寓或者其他房源：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顾问抽成：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住宿半年付200元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一年付300元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其他房源对接中，以上为下限，后期只会多，不会少于这个数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3.境外服务，服务内容见项目表：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新加坡接机：200元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新加坡接机+陪同：260元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马来西亚接机+陪同：100元</t>
    </r>
  </si>
  <si>
    <r>
      <t>佣金结算月的下个月初；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比如：3月收到佣金，最早可以在4月10日结算工资时，就可以给出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注意：顾问老师的结算金额，后期可能会变化为比例结算，这个最终会在6月根据业绩情况确定</t>
    </r>
  </si>
  <si>
    <t>租房老师</t>
  </si>
  <si>
    <t>邱老师，赵老师</t>
  </si>
  <si>
    <r>
      <t>设当月总成单为N</t>
    </r>
    <r>
      <rPr>
        <b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当N＜5单，则结算净利润的12%</t>
    </r>
    <r>
      <rPr>
        <b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当8＞N≥5单，则结算净利润的18%</t>
    </r>
    <r>
      <rPr>
        <b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当N≥8单，则结算净利润的25%</t>
    </r>
    <r>
      <rPr>
        <b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当N≥10单，则结算净利润的30%</t>
    </r>
    <r>
      <rPr>
        <b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净利润=公司收到的佣金-新媒体及顾问老师提成金额</t>
    </r>
  </si>
  <si>
    <t>佣金结算月的下一个月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</si>
</sst>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FFFFFF"/>
      <name val="宋体"/>
      <charset val="134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0"/>
      <color rgb="FF000000"/>
      <name val="Arial Regular"/>
      <charset val="134"/>
    </font>
    <font>
      <sz val="10"/>
      <color rgb="FF000000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宋体-简"/>
      <charset val="134"/>
    </font>
    <font>
      <sz val="10"/>
      <color rgb="FF000000"/>
      <name val="宋体-简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4" applyNumberFormat="0" applyAlignment="0" applyProtection="0">
      <alignment vertical="center"/>
    </xf>
    <xf numFmtId="0" fontId="24" fillId="6" borderId="25" applyNumberFormat="0" applyAlignment="0" applyProtection="0">
      <alignment vertical="center"/>
    </xf>
    <xf numFmtId="0" fontId="25" fillId="6" borderId="24" applyNumberFormat="0" applyAlignment="0" applyProtection="0">
      <alignment vertical="center"/>
    </xf>
    <xf numFmtId="0" fontId="26" fillId="7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9" fontId="7" fillId="0" borderId="7" xfId="0" applyNumberFormat="1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9" fontId="7" fillId="0" borderId="7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49" fontId="10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top" wrapText="1"/>
    </xf>
    <xf numFmtId="49" fontId="9" fillId="0" borderId="9" xfId="0" applyNumberFormat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 wrapText="1"/>
    </xf>
    <xf numFmtId="0" fontId="14" fillId="0" borderId="3" xfId="0" applyFont="1" applyFill="1" applyBorder="1" applyAlignment="1" applyProtection="1">
      <alignment horizontal="center" vertical="center"/>
    </xf>
    <xf numFmtId="0" fontId="14" fillId="0" borderId="3" xfId="0" applyFont="1" applyFill="1" applyBorder="1" applyAlignment="1" applyProtection="1">
      <alignment horizontal="center" vertical="center" wrapText="1"/>
    </xf>
    <xf numFmtId="0" fontId="14" fillId="0" borderId="9" xfId="0" applyFont="1" applyFill="1" applyBorder="1" applyAlignment="1" applyProtection="1">
      <alignment horizontal="center" vertical="center"/>
    </xf>
    <xf numFmtId="0" fontId="14" fillId="0" borderId="9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12" fillId="0" borderId="7" xfId="0" applyFont="1" applyFill="1" applyBorder="1" applyAlignment="1" applyProtection="1">
      <alignment horizontal="center" vertical="center" wrapText="1"/>
    </xf>
    <xf numFmtId="58" fontId="12" fillId="0" borderId="0" xfId="0" applyNumberFormat="1" applyFont="1" applyFill="1" applyAlignment="1">
      <alignment horizontal="center" vertical="center"/>
    </xf>
    <xf numFmtId="0" fontId="12" fillId="0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A18" sqref="$A18:$XFD31"/>
    </sheetView>
  </sheetViews>
  <sheetFormatPr defaultColWidth="9" defaultRowHeight="25" customHeight="1" outlineLevelCol="5"/>
  <cols>
    <col min="1" max="1" width="6.50442477876106" style="51" customWidth="1"/>
    <col min="2" max="2" width="9" style="51"/>
    <col min="3" max="3" width="9.6283185840708" style="51" customWidth="1"/>
    <col min="4" max="4" width="9.66371681415929" style="51" customWidth="1"/>
    <col min="5" max="5" width="41.3716814159292" style="53" customWidth="1"/>
    <col min="6" max="6" width="10.0265486725664" style="52"/>
    <col min="7" max="7" width="10.3716814159292" style="52"/>
    <col min="8" max="8" width="10.0265486725664" style="52"/>
    <col min="9" max="16384" width="9" style="52"/>
  </cols>
  <sheetData>
    <row r="1" s="51" customFormat="1" customHeight="1" spans="1:6">
      <c r="A1" s="54" t="s">
        <v>0</v>
      </c>
      <c r="B1" s="54" t="s">
        <v>1</v>
      </c>
      <c r="C1" s="54" t="s">
        <v>2</v>
      </c>
      <c r="D1" s="54" t="s">
        <v>3</v>
      </c>
      <c r="E1" s="55" t="s">
        <v>4</v>
      </c>
    </row>
    <row r="2" s="51" customFormat="1" ht="53" customHeight="1" spans="1:6">
      <c r="A2" s="56"/>
      <c r="B2" s="56"/>
      <c r="C2" s="56"/>
      <c r="D2" s="56"/>
      <c r="E2" s="57"/>
    </row>
    <row r="3" s="51" customFormat="1" ht="24" customHeight="1" spans="1:6">
      <c r="A3" s="54">
        <v>1</v>
      </c>
      <c r="B3" s="58" t="s">
        <v>5</v>
      </c>
      <c r="C3" s="59" t="s">
        <v>6</v>
      </c>
      <c r="D3" s="58">
        <v>5000</v>
      </c>
      <c r="E3" s="60"/>
    </row>
    <row r="4" s="51" customFormat="1" ht="24" customHeight="1" spans="1:6">
      <c r="A4" s="54">
        <v>2</v>
      </c>
      <c r="B4" s="58" t="s">
        <v>7</v>
      </c>
      <c r="C4" s="59" t="s">
        <v>6</v>
      </c>
      <c r="D4" s="58">
        <v>7000</v>
      </c>
      <c r="E4" s="60"/>
    </row>
    <row r="5" s="51" customFormat="1" ht="24" customHeight="1" spans="1:6">
      <c r="A5" s="54">
        <v>3</v>
      </c>
      <c r="B5" s="58" t="s">
        <v>8</v>
      </c>
      <c r="C5" s="59" t="s">
        <v>9</v>
      </c>
      <c r="D5" s="58">
        <v>6000</v>
      </c>
      <c r="E5" s="60"/>
    </row>
    <row r="6" s="51" customFormat="1" ht="24" customHeight="1" spans="1:6">
      <c r="A6" s="54">
        <v>4</v>
      </c>
      <c r="B6" s="58" t="s">
        <v>10</v>
      </c>
      <c r="C6" s="59" t="s">
        <v>11</v>
      </c>
      <c r="D6" s="58">
        <v>5200</v>
      </c>
      <c r="E6" s="60"/>
    </row>
    <row r="7" s="51" customFormat="1" ht="31" customHeight="1" spans="1:6">
      <c r="A7" s="54">
        <v>5</v>
      </c>
      <c r="B7" s="58" t="s">
        <v>12</v>
      </c>
      <c r="C7" s="59" t="s">
        <v>11</v>
      </c>
      <c r="D7" s="58">
        <v>4000</v>
      </c>
      <c r="E7" s="60"/>
    </row>
    <row r="8" s="51" customFormat="1" ht="31" customHeight="1" spans="1:6">
      <c r="A8" s="54">
        <v>6</v>
      </c>
      <c r="B8" s="58" t="s">
        <v>13</v>
      </c>
      <c r="C8" s="59" t="s">
        <v>11</v>
      </c>
      <c r="D8" s="58">
        <v>4000</v>
      </c>
      <c r="E8" s="60"/>
    </row>
    <row r="9" s="51" customFormat="1" ht="24" customHeight="1" spans="1:6">
      <c r="A9" s="54">
        <v>7</v>
      </c>
      <c r="B9" s="58" t="s">
        <v>14</v>
      </c>
      <c r="C9" s="59" t="s">
        <v>15</v>
      </c>
      <c r="D9" s="58">
        <v>13000</v>
      </c>
      <c r="E9" s="60"/>
    </row>
    <row r="10" s="51" customFormat="1" ht="24" customHeight="1" spans="1:6">
      <c r="A10" s="54">
        <v>8</v>
      </c>
      <c r="B10" s="58" t="s">
        <v>16</v>
      </c>
      <c r="C10" s="59" t="s">
        <v>17</v>
      </c>
      <c r="D10" s="58">
        <v>5000</v>
      </c>
      <c r="E10" s="60"/>
      <c r="F10" s="61"/>
    </row>
    <row r="11" s="51" customFormat="1" ht="24" customHeight="1" spans="1:6">
      <c r="A11" s="54">
        <v>9</v>
      </c>
      <c r="B11" s="58" t="s">
        <v>18</v>
      </c>
      <c r="C11" s="59" t="s">
        <v>19</v>
      </c>
      <c r="D11" s="58">
        <v>5000</v>
      </c>
      <c r="E11" s="60"/>
    </row>
    <row r="12" s="51" customFormat="1" ht="24" customHeight="1" spans="1:6">
      <c r="A12" s="54">
        <v>10</v>
      </c>
      <c r="B12" s="58" t="s">
        <v>20</v>
      </c>
      <c r="C12" s="59" t="s">
        <v>21</v>
      </c>
      <c r="D12" s="58">
        <v>7000</v>
      </c>
      <c r="E12" s="60"/>
    </row>
    <row r="13" s="51" customFormat="1" customHeight="1" spans="1:6">
      <c r="A13" s="54">
        <v>11</v>
      </c>
      <c r="B13" s="58" t="s">
        <v>22</v>
      </c>
      <c r="C13" s="59" t="s">
        <v>23</v>
      </c>
      <c r="D13" s="58">
        <v>4500</v>
      </c>
      <c r="E13" s="62"/>
    </row>
    <row r="14" s="51" customFormat="1" ht="24" customHeight="1" spans="1:6">
      <c r="A14" s="58" t="s">
        <v>24</v>
      </c>
      <c r="B14" s="58"/>
      <c r="C14" s="58"/>
      <c r="D14" s="58">
        <f>SUM(D3:D13)</f>
        <v>65700</v>
      </c>
      <c r="E14" s="62"/>
    </row>
    <row r="15" s="51" customFormat="1" customHeight="1" spans="1:6">
      <c r="E15" s="53"/>
    </row>
    <row r="16" s="51" customFormat="1" customHeight="1" spans="1:6">
      <c r="E16" s="53"/>
    </row>
    <row r="17" s="51" customFormat="1" customHeight="1" spans="1:5">
      <c r="E17" s="53"/>
    </row>
    <row r="18" s="52" customFormat="1" customHeight="1" spans="1:5">
      <c r="A18" s="51"/>
      <c r="B18" s="51"/>
      <c r="C18" s="51"/>
      <c r="D18" s="51"/>
      <c r="E18" s="53"/>
    </row>
    <row r="19" s="52" customFormat="1" customHeight="1" spans="1:5">
      <c r="A19" s="51"/>
      <c r="B19" s="51"/>
      <c r="C19" s="51"/>
      <c r="D19" s="51"/>
      <c r="E19" s="53"/>
    </row>
    <row r="20" s="52" customFormat="1" customHeight="1" spans="1:5">
      <c r="A20" s="51"/>
      <c r="B20" s="51"/>
      <c r="C20" s="51"/>
      <c r="D20" s="51"/>
      <c r="E20" s="53"/>
    </row>
    <row r="21" s="52" customFormat="1" customHeight="1" spans="1:5">
      <c r="A21" s="51"/>
      <c r="B21" s="51"/>
      <c r="C21" s="51"/>
      <c r="D21" s="51"/>
      <c r="E21" s="53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16" sqref="C16"/>
    </sheetView>
  </sheetViews>
  <sheetFormatPr defaultColWidth="9.02654867256637" defaultRowHeight="25" customHeight="1" outlineLevelCol="6"/>
  <cols>
    <col min="1" max="2" width="10.5575221238938" customWidth="1"/>
    <col min="3" max="3" width="10.5575221238938" style="35" customWidth="1"/>
    <col min="4" max="6" width="10.5575221238938" customWidth="1"/>
    <col min="7" max="7" width="17.3982300884956" customWidth="1"/>
  </cols>
  <sheetData>
    <row r="1" customHeight="1" spans="1:7">
      <c r="A1" s="36" t="s">
        <v>25</v>
      </c>
      <c r="B1" s="36" t="s">
        <v>26</v>
      </c>
      <c r="C1" s="36" t="s">
        <v>27</v>
      </c>
      <c r="D1" s="36" t="s">
        <v>28</v>
      </c>
      <c r="E1" s="36"/>
      <c r="F1" s="36"/>
      <c r="G1" s="36" t="s">
        <v>4</v>
      </c>
    </row>
    <row r="2" customHeight="1" spans="1:7">
      <c r="A2" s="36" t="s">
        <v>11</v>
      </c>
      <c r="B2" s="36" t="s">
        <v>29</v>
      </c>
      <c r="C2" s="36" t="s">
        <v>30</v>
      </c>
      <c r="D2" s="36">
        <v>3000</v>
      </c>
      <c r="E2" s="37"/>
      <c r="F2" s="37"/>
      <c r="G2" s="38" t="s">
        <v>31</v>
      </c>
    </row>
    <row r="3" customHeight="1" spans="1:7">
      <c r="A3" s="36"/>
      <c r="B3" s="36"/>
      <c r="C3" s="36" t="s">
        <v>32</v>
      </c>
      <c r="D3" s="36">
        <v>4000</v>
      </c>
      <c r="E3" s="37"/>
      <c r="F3" s="37"/>
      <c r="G3" s="39"/>
    </row>
    <row r="4" customHeight="1" spans="1:7">
      <c r="A4" s="36"/>
      <c r="B4" s="36" t="s">
        <v>33</v>
      </c>
      <c r="C4" s="36" t="s">
        <v>34</v>
      </c>
      <c r="D4" s="36" t="s">
        <v>35</v>
      </c>
      <c r="E4" s="36" t="s">
        <v>36</v>
      </c>
      <c r="F4" s="36"/>
      <c r="G4" s="39"/>
    </row>
    <row r="5" customHeight="1" spans="1:7">
      <c r="A5" s="36"/>
      <c r="B5" s="36"/>
      <c r="C5" s="36"/>
      <c r="D5" s="36" t="s">
        <v>37</v>
      </c>
      <c r="E5" s="36" t="s">
        <v>38</v>
      </c>
      <c r="F5" s="36"/>
      <c r="G5" s="39"/>
    </row>
    <row r="6" customHeight="1" spans="1:7">
      <c r="A6" s="36"/>
      <c r="B6" s="36"/>
      <c r="C6" s="36" t="s">
        <v>39</v>
      </c>
      <c r="D6" s="36" t="s">
        <v>40</v>
      </c>
      <c r="E6" s="36" t="s">
        <v>38</v>
      </c>
      <c r="F6" s="36"/>
      <c r="G6" s="39"/>
    </row>
    <row r="7" customHeight="1" spans="1:7">
      <c r="A7" s="36"/>
      <c r="B7" s="36" t="s">
        <v>41</v>
      </c>
      <c r="C7" s="36" t="s">
        <v>42</v>
      </c>
      <c r="D7" s="40" t="s">
        <v>36</v>
      </c>
      <c r="E7" s="40"/>
      <c r="F7" s="40"/>
      <c r="G7" s="39"/>
    </row>
    <row r="8" customHeight="1" spans="1:7">
      <c r="A8" s="36"/>
      <c r="B8" s="36"/>
      <c r="C8" s="36" t="s">
        <v>39</v>
      </c>
      <c r="D8" s="41" t="s">
        <v>43</v>
      </c>
      <c r="E8" s="42"/>
      <c r="F8" s="43"/>
      <c r="G8" s="39"/>
    </row>
    <row r="9" customHeight="1" spans="1:7">
      <c r="A9" s="36"/>
      <c r="B9" s="36"/>
      <c r="C9" s="36"/>
      <c r="D9" s="44"/>
      <c r="E9" s="45"/>
      <c r="F9" s="46"/>
      <c r="G9" s="39"/>
    </row>
    <row r="10" customHeight="1" spans="1:7">
      <c r="A10" s="36"/>
      <c r="B10" s="36"/>
      <c r="C10" s="36"/>
      <c r="D10" s="47"/>
      <c r="E10" s="48"/>
      <c r="F10" s="49"/>
      <c r="G10" s="39"/>
    </row>
    <row r="11" customHeight="1" spans="1:7">
      <c r="A11" s="36"/>
      <c r="B11" s="36" t="s">
        <v>44</v>
      </c>
      <c r="C11" s="36" t="s">
        <v>39</v>
      </c>
      <c r="D11" s="36" t="s">
        <v>39</v>
      </c>
      <c r="E11" s="36" t="s">
        <v>45</v>
      </c>
      <c r="F11" s="36" t="s">
        <v>46</v>
      </c>
      <c r="G11" s="39"/>
    </row>
    <row r="12" customHeight="1" spans="1:7">
      <c r="A12" s="36"/>
      <c r="B12" s="36"/>
      <c r="C12" s="36"/>
      <c r="D12" s="41" t="s">
        <v>47</v>
      </c>
      <c r="E12" s="42"/>
      <c r="F12" s="43"/>
      <c r="G12" s="39"/>
    </row>
    <row r="13" customHeight="1" spans="1:7">
      <c r="A13" s="36"/>
      <c r="B13" s="36"/>
      <c r="C13" s="36"/>
      <c r="D13" s="44"/>
      <c r="E13" s="45"/>
      <c r="F13" s="46"/>
      <c r="G13" s="39"/>
    </row>
    <row r="14" customHeight="1" spans="1:7">
      <c r="A14" s="36"/>
      <c r="B14" s="36"/>
      <c r="C14" s="36"/>
      <c r="D14" s="47"/>
      <c r="E14" s="48"/>
      <c r="F14" s="49"/>
      <c r="G14" s="50"/>
    </row>
  </sheetData>
  <mergeCells count="13">
    <mergeCell ref="D1:F1"/>
    <mergeCell ref="D7:F7"/>
    <mergeCell ref="A2:A14"/>
    <mergeCell ref="B2:B3"/>
    <mergeCell ref="B4:B6"/>
    <mergeCell ref="B7:B10"/>
    <mergeCell ref="B11:B14"/>
    <mergeCell ref="C4:C5"/>
    <mergeCell ref="C8:C10"/>
    <mergeCell ref="C11:C14"/>
    <mergeCell ref="G2:G14"/>
    <mergeCell ref="D12:F14"/>
    <mergeCell ref="D8:F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opLeftCell="A9" workbookViewId="0">
      <selection activeCell="D13" sqref="D13"/>
    </sheetView>
  </sheetViews>
  <sheetFormatPr defaultColWidth="9.02654867256637" defaultRowHeight="57" customHeight="1"/>
  <cols>
    <col min="5" max="5" width="16.2654867256637" customWidth="1"/>
    <col min="9" max="11" width="19.3893805309735" customWidth="1"/>
  </cols>
  <sheetData>
    <row r="1" customHeight="1" spans="1:11">
      <c r="A1" s="5" t="s">
        <v>1</v>
      </c>
      <c r="B1" s="5" t="s">
        <v>2</v>
      </c>
      <c r="C1" s="5" t="s">
        <v>3</v>
      </c>
      <c r="D1" s="5" t="s">
        <v>48</v>
      </c>
      <c r="E1" s="5" t="s">
        <v>49</v>
      </c>
      <c r="F1" s="5"/>
      <c r="G1" s="5"/>
      <c r="H1" s="5"/>
      <c r="I1" s="5" t="s">
        <v>50</v>
      </c>
      <c r="J1" s="6" t="s">
        <v>51</v>
      </c>
      <c r="K1" s="6" t="s">
        <v>52</v>
      </c>
    </row>
    <row r="2" customHeight="1" spans="1:11">
      <c r="A2" s="5"/>
      <c r="B2" s="5"/>
      <c r="C2" s="5"/>
      <c r="D2" s="5"/>
      <c r="E2" s="7" t="s">
        <v>53</v>
      </c>
      <c r="F2" s="7" t="s">
        <v>54</v>
      </c>
      <c r="G2" s="7" t="s">
        <v>55</v>
      </c>
      <c r="H2" s="7" t="s">
        <v>56</v>
      </c>
      <c r="I2" s="5"/>
      <c r="J2" s="6"/>
      <c r="K2" s="6"/>
    </row>
    <row r="3" ht="47" customHeight="1" spans="1:11">
      <c r="A3" s="8" t="s">
        <v>5</v>
      </c>
      <c r="B3" s="9" t="s">
        <v>57</v>
      </c>
      <c r="C3" s="10">
        <v>5000</v>
      </c>
      <c r="D3" s="11" t="s">
        <v>58</v>
      </c>
      <c r="E3" s="12" t="s">
        <v>59</v>
      </c>
      <c r="F3" s="13">
        <v>0.1</v>
      </c>
      <c r="G3" s="13">
        <v>0.06</v>
      </c>
      <c r="H3" s="13">
        <v>0.02</v>
      </c>
      <c r="I3" s="13">
        <v>0.05</v>
      </c>
      <c r="J3" s="14" t="s">
        <v>60</v>
      </c>
      <c r="K3" s="13" t="s">
        <v>61</v>
      </c>
    </row>
    <row r="4" ht="47" customHeight="1" spans="1:11">
      <c r="A4" s="8"/>
      <c r="B4" s="9" t="s">
        <v>62</v>
      </c>
      <c r="C4" s="10"/>
      <c r="D4" s="11"/>
      <c r="E4" s="12" t="s">
        <v>63</v>
      </c>
      <c r="F4" s="13" t="s">
        <v>58</v>
      </c>
      <c r="G4" s="13">
        <v>0.16</v>
      </c>
      <c r="H4" s="13">
        <v>0.02</v>
      </c>
      <c r="I4" s="13" t="s">
        <v>64</v>
      </c>
      <c r="J4" s="14"/>
      <c r="K4" s="13" t="s">
        <v>61</v>
      </c>
    </row>
    <row r="5" ht="47" customHeight="1" spans="1:11">
      <c r="A5" s="15" t="s">
        <v>7</v>
      </c>
      <c r="B5" s="9" t="s">
        <v>57</v>
      </c>
      <c r="C5" s="16">
        <v>7000</v>
      </c>
      <c r="D5" s="11" t="s">
        <v>58</v>
      </c>
      <c r="E5" s="12" t="s">
        <v>59</v>
      </c>
      <c r="F5" s="13">
        <v>0.1</v>
      </c>
      <c r="G5" s="13">
        <v>0.06</v>
      </c>
      <c r="H5" s="13">
        <v>0.02</v>
      </c>
      <c r="I5" s="13">
        <v>0.05</v>
      </c>
      <c r="J5" s="14"/>
      <c r="K5" s="13" t="s">
        <v>61</v>
      </c>
    </row>
    <row r="6" ht="47" customHeight="1" spans="1:11">
      <c r="A6" s="15"/>
      <c r="B6" s="9" t="s">
        <v>62</v>
      </c>
      <c r="C6" s="16"/>
      <c r="D6" s="17"/>
      <c r="E6" s="18" t="s">
        <v>63</v>
      </c>
      <c r="F6" s="19" t="s">
        <v>58</v>
      </c>
      <c r="G6" s="19">
        <v>0.16</v>
      </c>
      <c r="H6" s="13">
        <v>0.02</v>
      </c>
      <c r="I6" s="13" t="s">
        <v>64</v>
      </c>
      <c r="J6" s="14"/>
      <c r="K6" s="13" t="s">
        <v>61</v>
      </c>
    </row>
    <row r="7" ht="47" customHeight="1" spans="1:11">
      <c r="A7" s="20" t="s">
        <v>8</v>
      </c>
      <c r="B7" s="21" t="s">
        <v>65</v>
      </c>
      <c r="C7" s="22">
        <v>5500</v>
      </c>
      <c r="D7" s="23">
        <v>500</v>
      </c>
      <c r="E7" s="24" t="s">
        <v>66</v>
      </c>
      <c r="F7" s="24" t="s">
        <v>58</v>
      </c>
      <c r="G7" s="25" t="s">
        <v>58</v>
      </c>
      <c r="H7" s="13" t="s">
        <v>58</v>
      </c>
      <c r="I7" s="13" t="s">
        <v>64</v>
      </c>
      <c r="J7" s="14"/>
      <c r="K7" s="13" t="s">
        <v>61</v>
      </c>
    </row>
    <row r="8" ht="47" customHeight="1" spans="1:11">
      <c r="A8" s="20"/>
      <c r="B8" s="21"/>
      <c r="C8" s="22"/>
      <c r="D8" s="23"/>
      <c r="E8" s="24" t="s">
        <v>63</v>
      </c>
      <c r="F8" s="26" t="s">
        <v>58</v>
      </c>
      <c r="G8" s="25">
        <v>0.08</v>
      </c>
      <c r="H8" s="13">
        <v>0.02</v>
      </c>
      <c r="I8" s="13" t="s">
        <v>64</v>
      </c>
      <c r="J8" s="14"/>
      <c r="K8" s="13" t="s">
        <v>61</v>
      </c>
    </row>
    <row r="9" ht="47" customHeight="1" spans="1:11">
      <c r="A9" s="20"/>
      <c r="B9" s="27" t="s">
        <v>67</v>
      </c>
      <c r="C9" s="22"/>
      <c r="D9" s="23"/>
      <c r="E9" s="28" t="s">
        <v>68</v>
      </c>
      <c r="F9" s="26">
        <v>0.18</v>
      </c>
      <c r="G9" s="25" t="s">
        <v>58</v>
      </c>
      <c r="H9" s="13" t="s">
        <v>58</v>
      </c>
      <c r="I9" s="12" t="s">
        <v>69</v>
      </c>
      <c r="J9" s="14"/>
      <c r="K9" s="13" t="s">
        <v>61</v>
      </c>
    </row>
    <row r="10" ht="47" customHeight="1" spans="1:11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ht="84" customHeight="1" spans="1:11">
      <c r="A11" s="31" t="s">
        <v>70</v>
      </c>
      <c r="B11" s="32" t="s">
        <v>71</v>
      </c>
      <c r="C11" s="32"/>
      <c r="D11" s="32"/>
      <c r="E11" s="32"/>
      <c r="F11" s="32"/>
      <c r="G11" s="32"/>
      <c r="H11" s="32"/>
      <c r="I11" s="32"/>
      <c r="J11" s="32"/>
      <c r="K11" s="33"/>
    </row>
    <row r="12" ht="96" customHeight="1" spans="1:11">
      <c r="A12" s="31" t="s">
        <v>72</v>
      </c>
      <c r="B12" s="34" t="s">
        <v>73</v>
      </c>
      <c r="C12" s="34"/>
      <c r="D12" s="34"/>
      <c r="E12" s="34"/>
      <c r="F12" s="34"/>
      <c r="G12" s="34"/>
      <c r="H12" s="34"/>
      <c r="I12" s="34"/>
      <c r="J12" s="34"/>
      <c r="K12" s="32"/>
    </row>
  </sheetData>
  <mergeCells count="21">
    <mergeCell ref="E1:H1"/>
    <mergeCell ref="B11:J11"/>
    <mergeCell ref="B12:J12"/>
    <mergeCell ref="A1:A2"/>
    <mergeCell ref="A3:A4"/>
    <mergeCell ref="A5:A6"/>
    <mergeCell ref="A7:A9"/>
    <mergeCell ref="B1:B2"/>
    <mergeCell ref="B7:B8"/>
    <mergeCell ref="C1:C2"/>
    <mergeCell ref="C3:C4"/>
    <mergeCell ref="C5:C6"/>
    <mergeCell ref="C7:C9"/>
    <mergeCell ref="D1:D2"/>
    <mergeCell ref="D3:D4"/>
    <mergeCell ref="D5:D6"/>
    <mergeCell ref="D7:D9"/>
    <mergeCell ref="I1:I2"/>
    <mergeCell ref="J1:J2"/>
    <mergeCell ref="J3:J9"/>
    <mergeCell ref="K1:K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3" sqref="D3"/>
    </sheetView>
  </sheetViews>
  <sheetFormatPr defaultColWidth="9.02654867256637" defaultRowHeight="13.5" outlineLevelRow="3" outlineLevelCol="3"/>
  <cols>
    <col min="1" max="2" width="8.96460176991151" customWidth="1"/>
    <col min="3" max="4" width="25.5575221238938" customWidth="1"/>
  </cols>
  <sheetData>
    <row r="1" ht="40.5" customHeight="1" spans="1:4">
      <c r="A1" s="1" t="s">
        <v>74</v>
      </c>
      <c r="B1" s="1"/>
      <c r="C1" s="2" t="s">
        <v>75</v>
      </c>
      <c r="D1" s="1" t="s">
        <v>76</v>
      </c>
    </row>
    <row r="2" ht="27" spans="1:4">
      <c r="A2" s="3" t="s">
        <v>77</v>
      </c>
      <c r="B2" s="3" t="s">
        <v>78</v>
      </c>
      <c r="C2" s="4" t="s">
        <v>79</v>
      </c>
      <c r="D2" s="4" t="s">
        <v>80</v>
      </c>
    </row>
    <row r="3" ht="409.5" spans="1:4">
      <c r="A3" s="3" t="s">
        <v>81</v>
      </c>
      <c r="B3" s="3" t="s">
        <v>82</v>
      </c>
      <c r="C3" s="4" t="s">
        <v>83</v>
      </c>
      <c r="D3" s="4" t="s">
        <v>84</v>
      </c>
    </row>
    <row r="4" ht="351" spans="1:4">
      <c r="A4" s="3" t="s">
        <v>85</v>
      </c>
      <c r="B4" s="3" t="s">
        <v>86</v>
      </c>
      <c r="C4" s="3" t="s">
        <v>87</v>
      </c>
      <c r="D4" s="4" t="s">
        <v>88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底薪</vt:lpstr>
      <vt:lpstr>自媒体提成</vt:lpstr>
      <vt:lpstr>市场部门</vt:lpstr>
      <vt:lpstr>租房业务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</dc:creator>
  <cp:lastModifiedBy>aゞ灬DàīRＹ QǚΣＥ⁰</cp:lastModifiedBy>
  <dcterms:created xsi:type="dcterms:W3CDTF">2025-07-15T03:00:00Z</dcterms:created>
  <dcterms:modified xsi:type="dcterms:W3CDTF">2026-07-08T06:33:29Z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A5077DF8F8594E1ABD085B6EADA55902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